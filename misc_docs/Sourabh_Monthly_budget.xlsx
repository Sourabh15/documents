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Transactions" sheetId="2" r:id="rId4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<sst xmlns="http://schemas.openxmlformats.org/spreadsheetml/2006/main" count="61" uniqueCount="41">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</sst>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164" xfId="0" applyAlignment="1" applyFont="1" applyNumberFormat="1">
      <alignment horizontal="right" vertical="bottom"/>
    </xf>
    <xf borderId="0" fillId="2" fontId="2" numFmtId="164" xfId="0" applyAlignment="1" applyFont="1" applyNumberFormat="1">
      <alignment shrinkToFit="0" vertical="center" wrapText="1"/>
    </xf>
    <xf borderId="0" fillId="2" fontId="3" numFmtId="164" xfId="0" applyAlignment="1" applyFont="1" applyNumberFormat="1">
      <alignment readingOrder="0" shrinkToFit="0" vertical="center" wrapText="1"/>
    </xf>
    <xf borderId="0" fillId="2" fontId="3" numFmtId="164" xfId="0" applyAlignment="1" applyFont="1" applyNumberFormat="1">
      <alignment horizontal="left" readingOrder="0" shrinkToFit="0" vertical="center" wrapText="1"/>
    </xf>
    <xf borderId="0" fillId="2" fontId="4" numFmtId="164" xfId="0" applyAlignment="1" applyFont="1" applyNumberFormat="1">
      <alignment shrinkToFit="0" vertical="top" wrapText="1"/>
    </xf>
    <xf borderId="0" fillId="2" fontId="5" numFmtId="164" xfId="0" applyAlignment="1" applyFont="1" applyNumberFormat="1">
      <alignment horizontal="left" readingOrder="0" shrinkToFit="0" vertical="top" wrapText="1"/>
    </xf>
    <xf borderId="0" fillId="2" fontId="4" numFmtId="164" xfId="0" applyAlignment="1" applyFont="1" applyNumberFormat="1">
      <alignment horizontal="left" readingOrder="0" shrinkToFit="0" vertical="top" wrapText="1"/>
    </xf>
    <xf borderId="0" fillId="3" fontId="6" numFmtId="164" xfId="0" applyAlignment="1" applyFill="1" applyFont="1" applyNumberFormat="1">
      <alignment horizontal="left" readingOrder="0" shrinkToFit="0" vertical="center" wrapText="1"/>
    </xf>
    <xf borderId="0" fillId="2" fontId="5" numFmtId="164" xfId="0" applyAlignment="1" applyFont="1" applyNumberFormat="1">
      <alignment shrinkToFit="0" vertical="top" wrapText="1"/>
    </xf>
    <xf borderId="0" fillId="2" fontId="7" numFmtId="164" xfId="0" applyAlignment="1" applyFont="1" applyNumberFormat="1">
      <alignment horizontal="left" readingOrder="0" shrinkToFit="0" vertical="center" wrapText="1"/>
    </xf>
    <xf borderId="0" fillId="2" fontId="4" numFmtId="164" xfId="0" applyAlignment="1" applyFont="1" applyNumberFormat="1">
      <alignment shrinkToFit="0" vertical="bottom" wrapText="1"/>
    </xf>
    <xf borderId="0" fillId="2" fontId="4" numFmtId="164" xfId="0" applyAlignment="1" applyFont="1" applyNumberFormat="1">
      <alignment horizontal="left" readingOrder="0" shrinkToFit="0" vertical="bottom" wrapText="1"/>
    </xf>
    <xf borderId="0" fillId="2" fontId="8" numFmtId="164" xfId="0" applyFont="1" applyNumberFormat="1"/>
    <xf borderId="0" fillId="0" fontId="1" numFmtId="164" xfId="0" applyAlignment="1" applyFont="1" applyNumberFormat="1">
      <alignment vertical="bottom"/>
    </xf>
    <xf borderId="0" fillId="0" fontId="8" numFmtId="164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  <xf borderId="0" fillId="0" fontId="9" numFmtId="164" xfId="0" applyAlignment="1" applyFont="1" applyNumberFormat="1">
      <alignment vertical="top"/>
    </xf>
    <xf borderId="0" fillId="0" fontId="9" numFmtId="164" xfId="0" applyAlignment="1" applyFont="1" applyNumberFormat="1">
      <alignment horizontal="right" vertical="top"/>
    </xf>
    <xf borderId="0" fillId="0" fontId="10" numFmtId="164" xfId="0" applyAlignment="1" applyFont="1" applyNumberFormat="1">
      <alignment vertical="top"/>
    </xf>
    <xf borderId="0" fillId="4" fontId="11" numFmtId="164" xfId="0" applyAlignment="1" applyFill="1" applyFont="1" applyNumberFormat="1">
      <alignment horizontal="left" readingOrder="0" vertical="top"/>
    </xf>
    <xf borderId="0" fillId="0" fontId="12" numFmtId="164" xfId="0" applyAlignment="1" applyFont="1" applyNumberFormat="1">
      <alignment vertical="top"/>
    </xf>
    <xf borderId="0" fillId="0" fontId="8" numFmtId="164" xfId="0" applyFont="1" applyNumberFormat="1"/>
    <xf borderId="0" fillId="0" fontId="13" numFmtId="164" xfId="0" applyAlignment="1" applyFont="1" applyNumberForma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164" xfId="0" applyAlignment="1" applyFont="1" applyNumberFormat="1">
      <alignment vertical="top"/>
    </xf>
    <xf borderId="0" fillId="4" fontId="14" numFmtId="164" xfId="0" applyAlignment="1" applyFont="1" applyNumberFormat="1">
      <alignment horizontal="left" vertical="top"/>
    </xf>
    <xf borderId="0" fillId="0" fontId="15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left" vertical="bottom"/>
    </xf>
    <xf borderId="1" fillId="5" fontId="8" numFmtId="164" xfId="0" applyBorder="1" applyFill="1" applyFont="1" applyNumberFormat="1"/>
    <xf borderId="2" fillId="5" fontId="8" numFmtId="164" xfId="0" applyBorder="1" applyFont="1" applyNumberFormat="1"/>
    <xf borderId="3" fillId="5" fontId="1" numFmtId="164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164" xfId="0" applyBorder="1" applyFont="1" applyNumberFormat="1"/>
    <xf borderId="0" fillId="5" fontId="8" numFmtId="164" xfId="0" applyFont="1" applyNumberFormat="1"/>
    <xf borderId="6" fillId="5" fontId="8" numFmtId="164" xfId="0" applyBorder="1" applyFont="1" applyNumberFormat="1"/>
    <xf borderId="4" fillId="0" fontId="16" numFmtId="0" xfId="0" applyBorder="1" applyFont="1"/>
    <xf borderId="0" fillId="5" fontId="17" numFmtId="164" xfId="0" applyAlignment="1" applyFont="1" applyNumberFormat="1">
      <alignment horizontal="center" readingOrder="0" shrinkToFit="0" vertical="bottom" wrapText="0"/>
    </xf>
    <xf borderId="0" fillId="0" fontId="18" numFmtId="164" xfId="0" applyAlignment="1" applyFont="1" applyNumberFormat="1">
      <alignment horizontal="left" readingOrder="0" shrinkToFit="0" vertical="bottom" wrapText="0"/>
    </xf>
    <xf borderId="7" fillId="5" fontId="19" numFmtId="164" xfId="0" applyAlignment="1" applyBorder="1" applyFont="1" applyNumberFormat="1">
      <alignment horizontal="center" readingOrder="0" shrinkToFit="0" vertical="top" wrapText="0"/>
    </xf>
    <xf borderId="7" fillId="0" fontId="16" numFmtId="0" xfId="0" applyBorder="1" applyFont="1"/>
    <xf borderId="6" fillId="5" fontId="8" numFmtId="164" xfId="0" applyAlignment="1" applyBorder="1" applyFont="1" applyNumberFormat="1">
      <alignment shrinkToFit="0" wrapText="0"/>
    </xf>
    <xf borderId="0" fillId="0" fontId="20" numFmtId="164" xfId="0" applyFont="1" applyNumberFormat="1"/>
    <xf borderId="4" fillId="0" fontId="21" numFmtId="164" xfId="0" applyAlignment="1" applyBorder="1" applyFont="1" applyNumberForma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5" fontId="19" numFmtId="164" xfId="0" applyAlignment="1" applyFont="1" applyNumberFormat="1">
      <alignment horizontal="center" readingOrder="0" shrinkToFit="0" vertical="top" wrapText="0"/>
    </xf>
    <xf borderId="0" fillId="0" fontId="19" numFmtId="164" xfId="0" applyAlignment="1" applyFont="1" applyNumberForma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164" xfId="0" applyAlignment="1" applyFont="1" applyNumberFormat="1">
      <alignment vertical="center"/>
    </xf>
    <xf borderId="8" fillId="5" fontId="8" numFmtId="164" xfId="0" applyBorder="1" applyFont="1" applyNumberFormat="1"/>
    <xf borderId="9" fillId="5" fontId="8" numFmtId="164" xfId="0" applyBorder="1" applyFont="1" applyNumberFormat="1"/>
    <xf borderId="9" fillId="5" fontId="8" numFmtId="164" xfId="0" applyAlignment="1" applyBorder="1" applyFont="1" applyNumberFormat="1">
      <alignment readingOrder="0" vertical="top"/>
    </xf>
    <xf borderId="10" fillId="5" fontId="8" numFmtId="164" xfId="0" applyBorder="1" applyFont="1" applyNumberFormat="1"/>
    <xf borderId="0" fillId="0" fontId="8" numFmtId="164" xfId="0" applyAlignment="1" applyFont="1" applyNumberFormat="1">
      <alignment readingOrder="0" vertical="top"/>
    </xf>
    <xf borderId="0" fillId="0" fontId="24" numFmtId="164" xfId="0" applyAlignment="1" applyFont="1" applyNumberFormat="1">
      <alignment vertical="center"/>
    </xf>
    <xf borderId="0" fillId="0" fontId="21" numFmtId="164" xfId="0" applyAlignment="1" applyFont="1" applyNumberFormat="1">
      <alignment horizontal="left" readingOrder="0" vertical="center"/>
    </xf>
    <xf borderId="0" fillId="0" fontId="24" numFmtId="164" xfId="0" applyAlignment="1" applyFont="1" applyNumberFormat="1">
      <alignment horizontal="right" vertical="center"/>
    </xf>
    <xf borderId="0" fillId="0" fontId="25" numFmtId="164" xfId="0" applyAlignment="1" applyFont="1" applyNumberFormat="1">
      <alignment vertical="center"/>
    </xf>
    <xf borderId="0" fillId="0" fontId="26" numFmtId="164" xfId="0" applyAlignment="1" applyFont="1" applyNumberForma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16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27" numFmtId="164" xfId="0" applyAlignment="1" applyFont="1" applyNumberForma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164" xfId="0" applyAlignment="1" applyFont="1" applyNumberFormat="1">
      <alignment horizontal="left" vertical="center"/>
    </xf>
    <xf borderId="0" fillId="0" fontId="28" numFmtId="164" xfId="0" applyAlignment="1" applyFont="1" applyNumberFormat="1">
      <alignment horizontal="left"/>
    </xf>
    <xf borderId="0" fillId="0" fontId="29" numFmtId="164" xfId="0" applyAlignment="1" applyFont="1" applyNumberFormat="1">
      <alignment horizontal="right"/>
    </xf>
    <xf borderId="0" fillId="4" fontId="1" numFmtId="164" xfId="0" applyAlignment="1" applyFont="1" applyNumberFormat="1">
      <alignment vertical="bottom"/>
    </xf>
    <xf borderId="0" fillId="0" fontId="30" numFmtId="164" xfId="0" applyAlignment="1" applyFont="1" applyNumberFormat="1">
      <alignment vertical="top"/>
    </xf>
    <xf borderId="0" fillId="0" fontId="31" numFmtId="164" xfId="0" applyAlignment="1" applyFont="1" applyNumberFormat="1">
      <alignment horizontal="left" vertical="top"/>
    </xf>
    <xf borderId="0" fillId="0" fontId="20" numFmtId="164" xfId="0" applyAlignment="1" applyFont="1" applyNumberFormat="1">
      <alignment vertical="top"/>
    </xf>
    <xf borderId="0" fillId="0" fontId="30" numFmtId="164" xfId="0" applyAlignment="1" applyFont="1" applyNumberFormat="1">
      <alignment horizontal="right" vertical="top"/>
    </xf>
    <xf borderId="0" fillId="0" fontId="32" numFmtId="164" xfId="0" applyAlignment="1" applyFont="1" applyNumberFormat="1">
      <alignment horizontal="left" vertical="top"/>
    </xf>
    <xf borderId="0" fillId="0" fontId="33" numFmtId="164" xfId="0" applyAlignment="1" applyFont="1" applyNumberFormat="1">
      <alignment horizontal="left" vertical="top"/>
    </xf>
    <xf borderId="11" fillId="0" fontId="9" numFmtId="164" xfId="0" applyAlignment="1" applyBorder="1" applyFont="1" applyNumberFormat="1">
      <alignment vertical="bottom"/>
    </xf>
    <xf borderId="12" fillId="0" fontId="34" numFmtId="164" xfId="0" applyAlignment="1" applyBorder="1" applyFont="1" applyNumberFormat="1">
      <alignment horizontal="right" vertical="bottom"/>
    </xf>
    <xf borderId="12" fillId="0" fontId="35" numFmtId="164" xfId="0" applyAlignment="1" applyBorder="1" applyFont="1" applyNumberFormat="1">
      <alignment horizontal="left" vertical="bottom"/>
    </xf>
    <xf borderId="12" fillId="0" fontId="34" numFmtId="164" xfId="0" applyAlignment="1" applyBorder="1" applyFont="1" applyNumberFormat="1">
      <alignment horizontal="right" readingOrder="0" vertical="bottom"/>
    </xf>
    <xf borderId="11" fillId="0" fontId="9" numFmtId="164" xfId="0" applyAlignment="1" applyBorder="1" applyFont="1" applyNumberFormat="1">
      <alignment horizontal="right" vertical="bottom"/>
    </xf>
    <xf borderId="12" fillId="0" fontId="36" numFmtId="164" xfId="0" applyAlignment="1" applyBorder="1" applyFont="1" applyNumberFormat="1">
      <alignment horizontal="left" vertical="bottom"/>
    </xf>
    <xf borderId="12" fillId="0" fontId="37" numFmtId="164" xfId="0" applyAlignment="1" applyBorder="1" applyFont="1" applyNumberFormat="1">
      <alignment horizontal="left" vertical="bottom"/>
    </xf>
    <xf borderId="0" fillId="0" fontId="38" numFmtId="164" xfId="0" applyAlignment="1" applyFont="1" applyNumberFormat="1">
      <alignment vertical="top"/>
    </xf>
    <xf borderId="13" fillId="0" fontId="38" numFmtId="164" xfId="0" applyAlignment="1" applyBorder="1" applyFont="1" applyNumberFormat="1">
      <alignment readingOrder="0" vertical="top"/>
    </xf>
    <xf borderId="13" fillId="0" fontId="38" numFmtId="164" xfId="0" applyAlignment="1" applyBorder="1" applyFont="1" applyNumberForma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164" xfId="0" applyAlignment="1" applyFont="1" applyNumberFormat="1">
      <alignment horizontal="right" vertical="top"/>
    </xf>
    <xf borderId="13" fillId="0" fontId="38" numFmtId="164" xfId="0" applyAlignment="1" applyBorder="1" applyFont="1" applyNumberFormat="1">
      <alignment horizontal="left" readingOrder="0" vertical="top"/>
    </xf>
    <xf borderId="13" fillId="0" fontId="38" numFmtId="164" xfId="0" applyAlignment="1" applyBorder="1" applyFont="1" applyNumberFormat="1">
      <alignment horizontal="right" readingOrder="0" vertical="top"/>
    </xf>
    <xf borderId="0" fillId="0" fontId="9" numFmtId="164" xfId="0" applyAlignment="1" applyFont="1" applyNumberForma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20" fillId="0" fontId="39" numFmtId="164" xfId="0" applyAlignment="1" applyBorder="1" applyFont="1" applyNumberFormat="1">
      <alignment readingOrder="0" vertical="center"/>
    </xf>
    <xf borderId="22" fillId="0" fontId="40" numFmtId="164" xfId="0" applyAlignment="1" applyBorder="1" applyFont="1" applyNumberFormat="1">
      <alignment readingOrder="0" vertical="center"/>
    </xf>
    <xf borderId="20" fillId="0" fontId="42" numFmtId="164" xfId="0" applyAlignment="1" applyBorder="1" applyFont="1" applyNumberForma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4" xfId="0" applyAlignment="1" applyBorder="1" applyFont="1" applyNumberFormat="1">
      <alignment readingOrder="0" vertical="center"/>
    </xf>
    <xf borderId="22" fillId="0" fontId="42" numFmtId="164" xfId="0" applyAlignment="1" applyBorder="1" applyFont="1" applyNumberFormat="1">
      <alignment readingOrder="0"/>
    </xf>
    <xf borderId="0" fillId="2" fontId="44" numFmtId="164" xfId="0" applyAlignment="1" applyFont="1" applyNumberFormat="1">
      <alignment vertical="center"/>
    </xf>
    <xf borderId="0" fillId="0" fontId="10" numFmtId="164" xfId="0" applyAlignment="1" applyFont="1" applyNumberFormat="1">
      <alignment vertical="bottom"/>
    </xf>
    <xf borderId="0" fillId="0" fontId="32" numFmtId="164" xfId="0" applyAlignment="1" applyFont="1" applyNumberFormat="1">
      <alignment horizontal="left" vertical="bottom"/>
    </xf>
    <xf borderId="23" fillId="0" fontId="1" numFmtId="164" xfId="0" applyAlignment="1" applyBorder="1" applyFont="1" applyNumberFormat="1">
      <alignment vertical="bottom"/>
    </xf>
    <xf borderId="0" fillId="0" fontId="34" numFmtId="164" xfId="0" applyAlignment="1" applyFont="1" applyNumberFormat="1">
      <alignment horizontal="left" vertical="center"/>
    </xf>
    <xf borderId="24" fillId="0" fontId="41" numFmtId="164" xfId="0" applyAlignment="1" applyBorder="1" applyFont="1" applyNumberFormat="1">
      <alignment horizontal="left" readingOrder="0" vertical="center"/>
    </xf>
    <xf borderId="24" fillId="0" fontId="26" numFmtId="164" xfId="0" applyAlignment="1" applyBorder="1" applyFont="1" applyNumberFormat="1">
      <alignment horizontal="left" readingOrder="0" vertical="center"/>
    </xf>
    <xf borderId="24" fillId="0" fontId="45" numFmtId="164" xfId="0" applyAlignment="1" applyBorder="1" applyFont="1" applyNumberFormat="1">
      <alignment horizontal="left" readingOrder="0" vertical="center"/>
    </xf>
    <xf borderId="24" fillId="0" fontId="25" numFmtId="164" xfId="0" applyAlignment="1" applyBorder="1" applyFont="1" applyNumberFormat="1">
      <alignment horizontal="left" readingOrder="0" vertical="center"/>
    </xf>
    <xf borderId="25" fillId="0" fontId="41" numFmtId="164" xfId="0" applyAlignment="1" applyBorder="1" applyFont="1" applyNumberFormat="1">
      <alignment horizontal="left" readingOrder="0" vertical="center"/>
    </xf>
    <xf borderId="25" fillId="0" fontId="26" numFmtId="164" xfId="0" applyAlignment="1" applyBorder="1" applyFont="1" applyNumberFormat="1">
      <alignment horizontal="left" readingOrder="0" vertical="center"/>
    </xf>
    <xf borderId="25" fillId="0" fontId="45" numFmtId="164" xfId="0" applyAlignment="1" applyBorder="1" applyFont="1" applyNumberFormat="1">
      <alignment horizontal="left" readingOrder="0" vertical="center"/>
    </xf>
    <xf borderId="25" fillId="0" fontId="25" numFmtId="164" xfId="0" applyAlignment="1" applyBorder="1" applyFont="1" applyNumberFormat="1">
      <alignment horizontal="left" readingOrder="0" vertical="center"/>
    </xf>
    <xf borderId="25" fillId="0" fontId="41" numFmtId="164" xfId="0" applyAlignment="1" applyBorder="1" applyFont="1" applyNumberFormat="1">
      <alignment horizontal="left" vertical="center"/>
    </xf>
    <xf borderId="25" fillId="0" fontId="25" numFmtId="164" xfId="0" applyAlignment="1" applyBorder="1" applyFont="1" applyNumberFormat="1">
      <alignment horizontal="left" vertical="center"/>
    </xf>
    <xf borderId="25" fillId="0" fontId="26" numFmtId="164" xfId="0" applyAlignment="1" applyBorder="1" applyFont="1" applyNumberFormat="1">
      <alignment horizontal="left" vertical="center"/>
    </xf>
    <xf borderId="25" fillId="0" fontId="45" numFmtId="164" xfId="0" applyAlignment="1" applyBorder="1" applyFont="1" applyNumberFormat="1">
      <alignment horizontal="left" vertical="center"/>
    </xf>
    <xf borderId="26" fillId="0" fontId="41" numFmtId="164" xfId="0" applyAlignment="1" applyBorder="1" applyFont="1" applyNumberFormat="1">
      <alignment horizontal="left" vertical="center"/>
    </xf>
    <xf borderId="26" fillId="0" fontId="26" numFmtId="164" xfId="0" applyAlignment="1" applyBorder="1" applyFont="1" applyNumberFormat="1">
      <alignment horizontal="left" readingOrder="0" vertical="center"/>
    </xf>
    <xf borderId="26" fillId="0" fontId="45" numFmtId="164" xfId="0" applyAlignment="1" applyBorder="1" applyFont="1" applyNumberFormat="1">
      <alignment horizontal="left" vertical="center"/>
    </xf>
    <xf borderId="26" fillId="0" fontId="26" numFmtId="164" xfId="0" applyAlignment="1" applyBorder="1" applyFont="1" applyNumberFormat="1">
      <alignment horizontal="left" vertical="center"/>
    </xf>
    <xf borderId="26" fillId="0" fontId="25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1000.0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15"/>
      <c r="D13" s="37"/>
      <c r="F13" s="15"/>
      <c r="G13" s="15"/>
      <c r="H13" s="34"/>
      <c r="I13" s="38">
        <f>iferror(E17/D17-1, "")</f>
        <v>0.5</v>
      </c>
      <c r="L13" s="36"/>
      <c r="M13" s="39"/>
    </row>
    <row r="14" ht="24.0" customHeight="1">
      <c r="A14" s="15"/>
      <c r="B14" s="15"/>
      <c r="C14" s="15"/>
      <c r="D14" s="37"/>
      <c r="F14" s="15"/>
      <c r="G14" s="15"/>
      <c r="H14" s="34"/>
      <c r="I14" s="40" t="str">
        <f>if(I13 &lt; 0, "Decrease in total savings", "Increase in total savings")</f>
        <v>Increase in total savings</v>
      </c>
      <c r="J14" s="41"/>
      <c r="K14" s="41"/>
      <c r="L14" s="36"/>
      <c r="M14" s="39"/>
    </row>
    <row r="15" ht="39.75" customHeight="1">
      <c r="A15" s="15"/>
      <c r="B15" s="15"/>
      <c r="C15" s="15"/>
      <c r="D15" s="37"/>
      <c r="F15" s="15"/>
      <c r="G15" s="15"/>
      <c r="H15" s="34"/>
      <c r="I15" s="38">
        <f>iferror(E17-D17, 0)</f>
        <v>500</v>
      </c>
      <c r="L15" s="42"/>
      <c r="M15" s="39"/>
    </row>
    <row r="16" ht="18.0" customHeight="1">
      <c r="A16" s="15"/>
      <c r="B16" s="28"/>
      <c r="C16" s="43"/>
      <c r="D16" s="44" t="s">
        <v>8</v>
      </c>
      <c r="E16" s="45" t="s">
        <v>9</v>
      </c>
      <c r="F16" s="43"/>
      <c r="G16" s="28"/>
      <c r="H16" s="34"/>
      <c r="I16" s="46" t="str">
        <f>if(J15&lt;0, "Spent this month", "Saved this month")</f>
        <v>Saved this month</v>
      </c>
      <c r="L16" s="36"/>
      <c r="M16" s="47"/>
    </row>
    <row r="17" ht="18.0" customHeight="1">
      <c r="A17" s="23"/>
      <c r="B17" s="15"/>
      <c r="C17" s="23"/>
      <c r="D17" s="48">
        <f>if(isblank(L8),0,L8)</f>
        <v>1000</v>
      </c>
      <c r="E17" s="49">
        <f>D17+(I22-C22)</f>
        <v>1500</v>
      </c>
      <c r="F17" s="23"/>
      <c r="G17" s="15"/>
      <c r="H17" s="34"/>
      <c r="I17" s="35"/>
      <c r="L17" s="36"/>
      <c r="M17" s="23"/>
    </row>
    <row r="18" ht="12.0" customHeight="1">
      <c r="A18" s="23"/>
      <c r="B18" s="50"/>
      <c r="C18" s="50"/>
      <c r="D18" s="50"/>
      <c r="E18" s="50"/>
      <c r="F18" s="50"/>
      <c r="G18" s="23"/>
      <c r="H18" s="51"/>
      <c r="I18" s="52"/>
      <c r="J18" s="53"/>
      <c r="K18" s="52"/>
      <c r="L18" s="54"/>
      <c r="M18" s="23"/>
    </row>
    <row r="19" ht="24.0" customHeight="1">
      <c r="A19" s="23"/>
      <c r="B19" s="50"/>
      <c r="C19" s="50"/>
      <c r="D19" s="50"/>
      <c r="E19" s="50"/>
      <c r="F19" s="50"/>
      <c r="G19" s="23"/>
      <c r="H19" s="23"/>
      <c r="I19" s="23"/>
      <c r="J19" s="55"/>
      <c r="K19" s="23"/>
      <c r="L19" s="23"/>
      <c r="M19" s="23"/>
    </row>
    <row r="20" ht="24.0" customHeight="1">
      <c r="A20" s="56"/>
      <c r="B20" s="57" t="s">
        <v>10</v>
      </c>
      <c r="G20" s="56"/>
      <c r="H20" s="57" t="s">
        <v>11</v>
      </c>
      <c r="I20" s="57"/>
      <c r="J20" s="58"/>
      <c r="K20" s="56"/>
      <c r="L20" s="56"/>
      <c r="M20" s="56"/>
    </row>
    <row r="21" ht="19.5" customHeight="1">
      <c r="A21" s="59"/>
      <c r="B21" s="60" t="s">
        <v>12</v>
      </c>
      <c r="C21" s="61">
        <f>D26</f>
        <v>950</v>
      </c>
      <c r="D21" s="62" t="str">
        <f>IFERROR(__xludf.DUMMYFUNCTION("SPARKLINE(C21,{""charttype"",""bar"";""max"",max(C21:C22);""color1"",""#AEB7C0""})"),"")</f>
        <v/>
      </c>
      <c r="G21" s="59"/>
      <c r="H21" s="60" t="s">
        <v>12</v>
      </c>
      <c r="I21" s="61">
        <f>J26</f>
        <v>1450</v>
      </c>
      <c r="J21" s="62" t="str">
        <f>IFERROR(__xludf.DUMMYFUNCTION("SPARKLINE(I21,{""charttype"",""bar"";""max"",max(I21:I22);""color1"",""#AEB7C0""})"),"")</f>
        <v/>
      </c>
      <c r="M21" s="59"/>
    </row>
    <row r="22" ht="19.5" customHeight="1">
      <c r="A22" s="63"/>
      <c r="B22" s="64" t="s">
        <v>13</v>
      </c>
      <c r="C22" s="65">
        <f>E26</f>
        <v>1000</v>
      </c>
      <c r="D22" s="66" t="str">
        <f>IFERROR(__xludf.DUMMYFUNCTION("SPARKLINE(C22,{""charttype"",""bar"";""max"",max(C21:C22);""color1"",""#334960""})"),"")</f>
        <v/>
      </c>
      <c r="G22" s="50"/>
      <c r="H22" s="64" t="s">
        <v>13</v>
      </c>
      <c r="I22" s="65">
        <f>K26</f>
        <v>1500</v>
      </c>
      <c r="J22" s="66" t="str">
        <f>IFERROR(__xludf.DUMMYFUNCTION("SPARKLINE(I22,{""charttype"",""bar"";""max"",max(I21:I22);""color1"",""#334960""})"),"")</f>
        <v/>
      </c>
      <c r="M22" s="63"/>
    </row>
    <row r="23" ht="30.0" customHeight="1">
      <c r="A23" s="15"/>
      <c r="B23" s="67"/>
      <c r="C23" s="68"/>
      <c r="D23" s="69"/>
      <c r="G23" s="15"/>
      <c r="H23" s="67"/>
      <c r="I23" s="68"/>
      <c r="J23" s="69"/>
      <c r="M23" s="63"/>
    </row>
    <row r="24" ht="29.25" customHeight="1">
      <c r="A24" s="70"/>
      <c r="B24" s="71" t="s">
        <v>10</v>
      </c>
      <c r="D24" s="72"/>
      <c r="E24" s="72"/>
      <c r="F24" s="72"/>
      <c r="G24" s="73"/>
      <c r="H24" s="74" t="s">
        <v>11</v>
      </c>
      <c r="I24" s="75"/>
      <c r="J24" s="72"/>
      <c r="K24" s="72"/>
      <c r="L24" s="72"/>
      <c r="M24" s="70"/>
    </row>
    <row r="25" ht="19.5" customHeight="1">
      <c r="A25" s="76"/>
      <c r="B25" s="77"/>
      <c r="C25" s="78"/>
      <c r="D25" s="77" t="s">
        <v>12</v>
      </c>
      <c r="E25" s="79" t="s">
        <v>13</v>
      </c>
      <c r="F25" s="79" t="s">
        <v>14</v>
      </c>
      <c r="G25" s="80"/>
      <c r="H25" s="81"/>
      <c r="I25" s="82"/>
      <c r="J25" s="77" t="s">
        <v>12</v>
      </c>
      <c r="K25" s="79" t="s">
        <v>13</v>
      </c>
      <c r="L25" s="79" t="s">
        <v>14</v>
      </c>
      <c r="M25" s="76"/>
    </row>
    <row r="26" ht="17.25" customHeight="1">
      <c r="A26" s="83"/>
      <c r="B26" s="84" t="s">
        <v>15</v>
      </c>
      <c r="C26" s="85"/>
      <c r="D26" s="86">
        <f t="shared" ref="D26:F26" si="1">sum(D27:D44)</f>
        <v>950</v>
      </c>
      <c r="E26" s="86">
        <f t="shared" si="1"/>
        <v>1000</v>
      </c>
      <c r="F26" s="86">
        <f t="shared" si="1"/>
        <v>-50</v>
      </c>
      <c r="G26" s="87"/>
      <c r="H26" s="88" t="s">
        <v>15</v>
      </c>
      <c r="I26" s="89"/>
      <c r="J26" s="86">
        <f t="shared" ref="J26:L26" si="2">sum(J27:J44)</f>
        <v>1450</v>
      </c>
      <c r="K26" s="86">
        <f t="shared" si="2"/>
        <v>1500</v>
      </c>
      <c r="L26" s="86">
        <f t="shared" si="2"/>
        <v>50</v>
      </c>
      <c r="M26" s="83"/>
    </row>
    <row r="27" ht="18.0" hidden="1" customHeight="1">
      <c r="A27" s="90"/>
      <c r="B27" s="91"/>
      <c r="C27" s="92"/>
      <c r="D27" s="93"/>
      <c r="E27" s="94" t="str">
        <f>if(isblank($B27), "", sumif(Transactions!$E:$E,$B27,Transactions!$C:$C))</f>
        <v/>
      </c>
      <c r="F27" s="94" t="str">
        <f t="shared" ref="F27:F41" si="3">if(isblank($B27), "", D27-E27)</f>
        <v/>
      </c>
      <c r="G27" s="95"/>
      <c r="H27" s="96"/>
      <c r="I27" s="97"/>
      <c r="J27" s="98"/>
      <c r="K27" s="94" t="str">
        <f>if(isblank($H27), "", sumif(Transactions!$J:$J,$H27,Transactions!$H:$H))</f>
        <v/>
      </c>
      <c r="L27" s="94" t="str">
        <f t="shared" ref="L27:L41" si="4">if(isblank($H27), "", K27-J27)</f>
        <v/>
      </c>
      <c r="M27" s="90"/>
    </row>
    <row r="28" ht="18.0" customHeight="1">
      <c r="A28" s="90"/>
      <c r="B28" s="99" t="s">
        <v>16</v>
      </c>
      <c r="C28" s="100"/>
      <c r="D28" s="101">
        <v>0.0</v>
      </c>
      <c r="E28" s="94">
        <f>if(isblank($B28), "", sumif(Transactions!$E:$E,$B28,Transactions!$C:$C))</f>
        <v>0</v>
      </c>
      <c r="F28" s="102">
        <f t="shared" si="3"/>
        <v>0</v>
      </c>
      <c r="G28" s="95"/>
      <c r="H28" s="99" t="s">
        <v>17</v>
      </c>
      <c r="I28" s="100"/>
      <c r="J28" s="101">
        <v>0.0</v>
      </c>
      <c r="K28" s="94">
        <f>if(isblank($H28), "", sumif(Transactions!$J:$J,$H28,Transactions!$H:$H))</f>
        <v>0</v>
      </c>
      <c r="L28" s="102">
        <f t="shared" si="4"/>
        <v>0</v>
      </c>
      <c r="M28" s="90"/>
    </row>
    <row r="29" ht="18.0" customHeight="1">
      <c r="A29" s="90"/>
      <c r="B29" s="99" t="s">
        <v>18</v>
      </c>
      <c r="C29" s="100"/>
      <c r="D29" s="101">
        <v>0.0</v>
      </c>
      <c r="E29" s="94">
        <f>if(isblank($B29), "", sumif(Transactions!$E:$E,$B29,Transactions!$C:$C))</f>
        <v>0</v>
      </c>
      <c r="F29" s="102">
        <f t="shared" si="3"/>
        <v>0</v>
      </c>
      <c r="G29" s="95"/>
      <c r="H29" s="99" t="s">
        <v>19</v>
      </c>
      <c r="I29" s="100"/>
      <c r="J29" s="101">
        <v>1450.0</v>
      </c>
      <c r="K29" s="94">
        <f>if(isblank($H29), "", sumif(Transactions!$J:$J,$H29,Transactions!$H:$H))</f>
        <v>1500</v>
      </c>
      <c r="L29" s="102">
        <f t="shared" si="4"/>
        <v>50</v>
      </c>
      <c r="M29" s="90"/>
    </row>
    <row r="30" ht="18.0" customHeight="1">
      <c r="A30" s="63"/>
      <c r="B30" s="99" t="s">
        <v>20</v>
      </c>
      <c r="C30" s="100"/>
      <c r="D30" s="101">
        <v>0.0</v>
      </c>
      <c r="E30" s="94">
        <f>if(isblank($B30), "", sumif(Transactions!$E:$E,$B30,Transactions!$C:$C))</f>
        <v>0</v>
      </c>
      <c r="F30" s="102">
        <f t="shared" si="3"/>
        <v>0</v>
      </c>
      <c r="G30" s="103"/>
      <c r="H30" s="99" t="s">
        <v>21</v>
      </c>
      <c r="I30" s="100"/>
      <c r="J30" s="101">
        <v>0.0</v>
      </c>
      <c r="K30" s="94">
        <f>if(isblank($H30), "", sumif(Transactions!$J:$J,$H30,Transactions!$H:$H))</f>
        <v>0</v>
      </c>
      <c r="L30" s="102">
        <f t="shared" si="4"/>
        <v>0</v>
      </c>
      <c r="M30" s="63"/>
    </row>
    <row r="31" ht="18.0" customHeight="1">
      <c r="A31" s="63"/>
      <c r="B31" s="99" t="s">
        <v>22</v>
      </c>
      <c r="C31" s="100"/>
      <c r="D31" s="101">
        <v>950.0</v>
      </c>
      <c r="E31" s="94">
        <f>if(isblank($B31), "", sumif(Transactions!$E:$E,$B31,Transactions!$C:$C))</f>
        <v>1000</v>
      </c>
      <c r="F31" s="102">
        <f t="shared" si="3"/>
        <v>-50</v>
      </c>
      <c r="G31" s="103"/>
      <c r="H31" s="99" t="s">
        <v>23</v>
      </c>
      <c r="I31" s="100"/>
      <c r="J31" s="101">
        <v>0.0</v>
      </c>
      <c r="K31" s="94">
        <f>if(isblank($H31), "", sumif(Transactions!$J:$J,$H31,Transactions!$H:$H))</f>
        <v>0</v>
      </c>
      <c r="L31" s="102">
        <f t="shared" si="4"/>
        <v>0</v>
      </c>
      <c r="M31" s="63"/>
    </row>
    <row r="32" ht="18.0" customHeight="1">
      <c r="A32" s="63"/>
      <c r="B32" s="99" t="s">
        <v>24</v>
      </c>
      <c r="C32" s="100"/>
      <c r="D32" s="101">
        <v>0.0</v>
      </c>
      <c r="E32" s="94">
        <f>if(isblank($B32), "", sumif(Transactions!$E:$E,$B32,Transactions!$C:$C))</f>
        <v>0</v>
      </c>
      <c r="F32" s="102">
        <f t="shared" si="3"/>
        <v>0</v>
      </c>
      <c r="G32" s="103"/>
      <c r="H32" s="99" t="s">
        <v>25</v>
      </c>
      <c r="I32" s="100"/>
      <c r="J32" s="101">
        <v>0.0</v>
      </c>
      <c r="K32" s="94">
        <f>if(isblank($H32), "", sumif(Transactions!$J:$J,$H32,Transactions!$H:$H))</f>
        <v>0</v>
      </c>
      <c r="L32" s="102">
        <f t="shared" si="4"/>
        <v>0</v>
      </c>
      <c r="M32" s="63"/>
    </row>
    <row r="33" ht="18.0" customHeight="1">
      <c r="A33" s="63"/>
      <c r="B33" s="99" t="s">
        <v>26</v>
      </c>
      <c r="C33" s="100"/>
      <c r="D33" s="101">
        <v>0.0</v>
      </c>
      <c r="E33" s="94">
        <f>if(isblank($B33), "", sumif(Transactions!$E:$E,$B33,Transactions!$C:$C))</f>
        <v>0</v>
      </c>
      <c r="F33" s="102">
        <f t="shared" si="3"/>
        <v>0</v>
      </c>
      <c r="G33" s="103"/>
      <c r="H33" s="104" t="s">
        <v>27</v>
      </c>
      <c r="I33" s="100"/>
      <c r="J33" s="105">
        <v>0.0</v>
      </c>
      <c r="K33" s="94">
        <f>if(isblank($H33), "", sumif(Transactions!$J:$J,$H33,Transactions!$H:$H))</f>
        <v>0</v>
      </c>
      <c r="L33" s="102">
        <f t="shared" si="4"/>
        <v>0</v>
      </c>
      <c r="M33" s="63"/>
    </row>
    <row r="34" ht="18.0" customHeight="1">
      <c r="A34" s="63"/>
      <c r="B34" s="104" t="s">
        <v>28</v>
      </c>
      <c r="C34" s="100"/>
      <c r="D34" s="101">
        <v>0.0</v>
      </c>
      <c r="E34" s="94">
        <f>if(isblank($B34), "", sumif(Transactions!$E:$E,$B34,Transactions!$C:$C))</f>
        <v>0</v>
      </c>
      <c r="F34" s="102">
        <f t="shared" si="3"/>
        <v>0</v>
      </c>
      <c r="G34" s="103"/>
      <c r="H34" s="106"/>
      <c r="I34" s="100"/>
      <c r="J34" s="107"/>
      <c r="K34" s="94" t="str">
        <f>if(isblank($H34), "", sumif(Transactions!$J:$J,$H34,Transactions!$H:$H))</f>
        <v/>
      </c>
      <c r="L34" s="102" t="str">
        <f t="shared" si="4"/>
        <v/>
      </c>
      <c r="M34" s="63"/>
    </row>
    <row r="35" ht="18.0" customHeight="1">
      <c r="A35" s="63"/>
      <c r="B35" s="99" t="s">
        <v>29</v>
      </c>
      <c r="C35" s="100"/>
      <c r="D35" s="101">
        <v>0.0</v>
      </c>
      <c r="E35" s="94">
        <f>if(isblank($B35), "", sumif(Transactions!$E:$E,$B35,Transactions!$C:$C))</f>
        <v>0</v>
      </c>
      <c r="F35" s="102">
        <f t="shared" si="3"/>
        <v>0</v>
      </c>
      <c r="G35" s="103"/>
      <c r="H35" s="106"/>
      <c r="I35" s="100"/>
      <c r="J35" s="107"/>
      <c r="K35" s="94" t="str">
        <f>if(isblank($H35), "", sumif(Transactions!$J:$J,$H35,Transactions!$H:$H))</f>
        <v/>
      </c>
      <c r="L35" s="102" t="str">
        <f t="shared" si="4"/>
        <v/>
      </c>
      <c r="M35" s="63"/>
    </row>
    <row r="36" ht="18.0" customHeight="1">
      <c r="A36" s="63"/>
      <c r="B36" s="99" t="s">
        <v>30</v>
      </c>
      <c r="C36" s="100"/>
      <c r="D36" s="108">
        <v>0.0</v>
      </c>
      <c r="E36" s="94">
        <f>if(isblank($B36), "", sumif(Transactions!$E:$E,$B36,Transactions!$C:$C))</f>
        <v>0</v>
      </c>
      <c r="F36" s="102">
        <f t="shared" si="3"/>
        <v>0</v>
      </c>
      <c r="G36" s="103"/>
      <c r="H36" s="106"/>
      <c r="I36" s="100"/>
      <c r="J36" s="107"/>
      <c r="K36" s="94" t="str">
        <f>if(isblank($H36), "", sumif(Transactions!$J:$J,$H36,Transactions!$H:$H))</f>
        <v/>
      </c>
      <c r="L36" s="102" t="str">
        <f t="shared" si="4"/>
        <v/>
      </c>
      <c r="M36" s="63"/>
    </row>
    <row r="37" ht="18.0" customHeight="1">
      <c r="A37" s="63"/>
      <c r="B37" s="99" t="s">
        <v>31</v>
      </c>
      <c r="C37" s="100"/>
      <c r="D37" s="101">
        <v>0.0</v>
      </c>
      <c r="E37" s="94">
        <f>if(isblank($B37), "", sumif(Transactions!$E:$E,$B37,Transactions!$C:$C))</f>
        <v>0</v>
      </c>
      <c r="F37" s="102">
        <f t="shared" si="3"/>
        <v>0</v>
      </c>
      <c r="G37" s="103"/>
      <c r="H37" s="106"/>
      <c r="I37" s="100"/>
      <c r="J37" s="107"/>
      <c r="K37" s="94" t="str">
        <f>if(isblank($H37), "", sumif(Transactions!$J:$J,$H37,Transactions!$H:$H))</f>
        <v/>
      </c>
      <c r="L37" s="102" t="str">
        <f t="shared" si="4"/>
        <v/>
      </c>
      <c r="M37" s="63"/>
    </row>
    <row r="38" ht="18.0" customHeight="1">
      <c r="A38" s="63"/>
      <c r="B38" s="99" t="s">
        <v>25</v>
      </c>
      <c r="C38" s="100"/>
      <c r="D38" s="101">
        <v>0.0</v>
      </c>
      <c r="E38" s="94">
        <f>if(isblank($B38), "", sumif(Transactions!$E:$E,$B38,Transactions!$C:$C))</f>
        <v>0</v>
      </c>
      <c r="F38" s="102">
        <f t="shared" si="3"/>
        <v>0</v>
      </c>
      <c r="G38" s="103"/>
      <c r="H38" s="106"/>
      <c r="I38" s="100"/>
      <c r="J38" s="107"/>
      <c r="K38" s="94" t="str">
        <f>if(isblank($H38), "", sumif(Transactions!$J:$J,$H38,Transactions!$H:$H))</f>
        <v/>
      </c>
      <c r="L38" s="102" t="str">
        <f t="shared" si="4"/>
        <v/>
      </c>
      <c r="M38" s="63"/>
    </row>
    <row r="39" ht="18.0" customHeight="1">
      <c r="A39" s="63"/>
      <c r="B39" s="104" t="s">
        <v>32</v>
      </c>
      <c r="C39" s="100"/>
      <c r="D39" s="101">
        <v>0.0</v>
      </c>
      <c r="E39" s="94">
        <f>if(isblank($B39), "", sumif(Transactions!$E:$E,$B39,Transactions!$C:$C))</f>
        <v>0</v>
      </c>
      <c r="F39" s="102">
        <f t="shared" si="3"/>
        <v>0</v>
      </c>
      <c r="G39" s="103"/>
      <c r="H39" s="106"/>
      <c r="I39" s="100"/>
      <c r="J39" s="107"/>
      <c r="K39" s="94" t="str">
        <f>if(isblank($H39), "", sumif(Transactions!$J:$J,$H39,Transactions!$H:$H))</f>
        <v/>
      </c>
      <c r="L39" s="102" t="str">
        <f t="shared" si="4"/>
        <v/>
      </c>
      <c r="M39" s="63"/>
    </row>
    <row r="40" ht="18.0" customHeight="1">
      <c r="A40" s="63"/>
      <c r="B40" s="104" t="s">
        <v>33</v>
      </c>
      <c r="C40" s="100"/>
      <c r="D40" s="109">
        <v>0.0</v>
      </c>
      <c r="E40" s="94">
        <f>if(isblank($B40), "", sumif(Transactions!$E:$E,$B40,Transactions!$C:$C))</f>
        <v>0</v>
      </c>
      <c r="F40" s="102">
        <f t="shared" si="3"/>
        <v>0</v>
      </c>
      <c r="G40" s="103"/>
      <c r="H40" s="106"/>
      <c r="I40" s="100"/>
      <c r="J40" s="107"/>
      <c r="K40" s="94" t="str">
        <f>if(isblank($H40), "", sumif(Transactions!$J:$J,$H40,Transactions!$H:$H))</f>
        <v/>
      </c>
      <c r="L40" s="102" t="str">
        <f t="shared" si="4"/>
        <v/>
      </c>
      <c r="M40" s="63"/>
    </row>
    <row r="41" ht="18.0" customHeight="1">
      <c r="A41" s="63"/>
      <c r="B41" s="104" t="s">
        <v>34</v>
      </c>
      <c r="C41" s="100"/>
      <c r="D41" s="109">
        <v>0.0</v>
      </c>
      <c r="E41" s="94">
        <f>if(isblank($B41), "", sumif(Transactions!$E:$E,$B41,Transactions!$C:$C))</f>
        <v>0</v>
      </c>
      <c r="F41" s="102">
        <f t="shared" si="3"/>
        <v>0</v>
      </c>
      <c r="G41" s="103"/>
      <c r="H41" s="106"/>
      <c r="I41" s="100"/>
      <c r="J41" s="107"/>
      <c r="K41" s="94" t="str">
        <f>if(isblank($H41), "", sumif(Transactions!$J:$J,$H41,Transactions!$H:$H))</f>
        <v/>
      </c>
      <c r="L41" s="102" t="str">
        <f t="shared" si="4"/>
        <v/>
      </c>
      <c r="M41" s="63"/>
    </row>
    <row r="42" ht="18.0" customHeight="1">
      <c r="A42" s="63"/>
      <c r="B42" s="110"/>
      <c r="C42" s="110"/>
      <c r="D42" s="109"/>
      <c r="E42" s="94"/>
      <c r="F42" s="102"/>
      <c r="G42" s="103"/>
      <c r="H42" s="111"/>
      <c r="I42" s="111"/>
      <c r="J42" s="107"/>
      <c r="K42" s="94"/>
      <c r="L42" s="102"/>
      <c r="M42" s="63"/>
    </row>
    <row r="43" ht="18.0" customHeight="1">
      <c r="A43" s="63"/>
      <c r="B43" s="110"/>
      <c r="C43" s="110"/>
      <c r="D43" s="109"/>
      <c r="E43" s="94"/>
      <c r="F43" s="102"/>
      <c r="G43" s="103"/>
      <c r="H43" s="111"/>
      <c r="I43" s="111"/>
      <c r="J43" s="107"/>
      <c r="K43" s="94"/>
      <c r="L43" s="102"/>
      <c r="M43" s="63"/>
    </row>
    <row r="44" ht="18.0" customHeight="1">
      <c r="A44" s="63"/>
      <c r="B44" s="104"/>
      <c r="C44" s="100"/>
      <c r="D44" s="101"/>
      <c r="E44" s="94" t="str">
        <f>if(isblank($B44), "", sumif(Transactions!$E:$E,$B44,Transactions!$C:$C))</f>
        <v/>
      </c>
      <c r="F44" s="102" t="str">
        <f>if(isblank($B44), "", D44-E44)</f>
        <v/>
      </c>
      <c r="G44" s="103"/>
      <c r="H44" s="106"/>
      <c r="I44" s="100"/>
      <c r="J44" s="107"/>
      <c r="K44" s="94" t="str">
        <f>if(isblank($H44), "", sumif(Transactions!$J:$J,$H44,Transactions!$H:$H))</f>
        <v/>
      </c>
      <c r="L44" s="102" t="str">
        <f>if(isblank($H44), "", K44-J44)</f>
        <v/>
      </c>
      <c r="M44" s="63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12"/>
      <c r="B1" s="11" t="s">
        <v>35</v>
      </c>
      <c r="K1" s="112"/>
    </row>
    <row r="2" ht="48.0" customHeight="1">
      <c r="A2" s="113"/>
      <c r="B2" s="114" t="s">
        <v>10</v>
      </c>
      <c r="C2" s="113"/>
      <c r="D2" s="113"/>
      <c r="E2" s="113"/>
      <c r="F2" s="113"/>
      <c r="G2" s="114" t="s">
        <v>11</v>
      </c>
      <c r="H2" s="113"/>
      <c r="I2" s="113"/>
      <c r="J2" s="113"/>
      <c r="K2" s="113"/>
    </row>
    <row r="3" ht="12.0" customHeight="1">
      <c r="A3" s="15"/>
      <c r="B3" s="115"/>
      <c r="C3" s="115"/>
      <c r="D3" s="115"/>
      <c r="E3" s="115"/>
      <c r="F3" s="15"/>
      <c r="G3" s="115"/>
      <c r="H3" s="115"/>
      <c r="I3" s="115"/>
      <c r="J3" s="115"/>
      <c r="K3" s="15"/>
    </row>
    <row r="4" ht="24.0" customHeight="1">
      <c r="A4" s="63"/>
      <c r="B4" s="116" t="s">
        <v>36</v>
      </c>
      <c r="C4" s="116" t="s">
        <v>37</v>
      </c>
      <c r="D4" s="116" t="s">
        <v>38</v>
      </c>
      <c r="E4" s="116" t="s">
        <v>39</v>
      </c>
      <c r="F4" s="63"/>
      <c r="G4" s="116" t="s">
        <v>36</v>
      </c>
      <c r="H4" s="116" t="s">
        <v>37</v>
      </c>
      <c r="I4" s="116" t="s">
        <v>38</v>
      </c>
      <c r="J4" s="116" t="s">
        <v>39</v>
      </c>
      <c r="K4" s="63"/>
    </row>
    <row r="5" ht="19.5" customHeight="1">
      <c r="A5" s="63"/>
      <c r="B5" s="117">
        <v>36868.0</v>
      </c>
      <c r="C5" s="118">
        <v>1000.0</v>
      </c>
      <c r="D5" s="119" t="s">
        <v>40</v>
      </c>
      <c r="E5" s="117" t="s">
        <v>22</v>
      </c>
      <c r="F5" s="63"/>
      <c r="G5" s="117">
        <v>36868.0</v>
      </c>
      <c r="H5" s="118">
        <v>1500.0</v>
      </c>
      <c r="I5" s="120" t="s">
        <v>19</v>
      </c>
      <c r="J5" s="117" t="s">
        <v>19</v>
      </c>
      <c r="K5" s="63"/>
    </row>
    <row r="6" ht="19.5" customHeight="1">
      <c r="A6" s="63"/>
      <c r="B6" s="121"/>
      <c r="C6" s="122"/>
      <c r="D6" s="123"/>
      <c r="E6" s="121"/>
      <c r="F6" s="63"/>
      <c r="G6" s="121"/>
      <c r="H6" s="122"/>
      <c r="I6" s="124"/>
      <c r="J6" s="121"/>
      <c r="K6" s="63"/>
    </row>
    <row r="7" ht="19.5" customHeight="1">
      <c r="A7" s="63"/>
      <c r="B7" s="121"/>
      <c r="C7" s="122"/>
      <c r="D7" s="123"/>
      <c r="E7" s="121"/>
      <c r="F7" s="63"/>
      <c r="G7" s="121"/>
      <c r="H7" s="122"/>
      <c r="I7" s="124"/>
      <c r="J7" s="121"/>
      <c r="K7" s="63"/>
    </row>
    <row r="8" ht="19.5" customHeight="1">
      <c r="A8" s="63"/>
      <c r="B8" s="121"/>
      <c r="C8" s="122"/>
      <c r="D8" s="123"/>
      <c r="E8" s="125"/>
      <c r="F8" s="63"/>
      <c r="G8" s="121"/>
      <c r="H8" s="122"/>
      <c r="I8" s="124"/>
      <c r="J8" s="121"/>
      <c r="K8" s="63"/>
    </row>
    <row r="9" ht="19.5" customHeight="1">
      <c r="A9" s="63"/>
      <c r="B9" s="121"/>
      <c r="C9" s="122"/>
      <c r="D9" s="123"/>
      <c r="E9" s="121"/>
      <c r="F9" s="63"/>
      <c r="G9" s="121"/>
      <c r="H9" s="122"/>
      <c r="I9" s="124"/>
      <c r="J9" s="121"/>
      <c r="K9" s="63"/>
    </row>
    <row r="10" ht="19.5" customHeight="1">
      <c r="A10" s="63"/>
      <c r="B10" s="121"/>
      <c r="C10" s="122"/>
      <c r="D10" s="123"/>
      <c r="E10" s="121"/>
      <c r="F10" s="63"/>
      <c r="G10" s="121"/>
      <c r="H10" s="122"/>
      <c r="I10" s="126"/>
      <c r="J10" s="125"/>
      <c r="K10" s="63"/>
    </row>
    <row r="11" ht="19.5" customHeight="1">
      <c r="A11" s="63"/>
      <c r="B11" s="121"/>
      <c r="C11" s="122"/>
      <c r="D11" s="123"/>
      <c r="E11" s="121"/>
      <c r="F11" s="63"/>
      <c r="G11" s="121"/>
      <c r="H11" s="122"/>
      <c r="I11" s="126"/>
      <c r="J11" s="125"/>
      <c r="K11" s="63"/>
    </row>
    <row r="12" ht="19.5" customHeight="1">
      <c r="A12" s="63"/>
      <c r="B12" s="121"/>
      <c r="C12" s="122"/>
      <c r="D12" s="123"/>
      <c r="E12" s="121"/>
      <c r="F12" s="63"/>
      <c r="G12" s="121"/>
      <c r="H12" s="122"/>
      <c r="I12" s="126"/>
      <c r="J12" s="125"/>
      <c r="K12" s="63"/>
    </row>
    <row r="13" ht="19.5" customHeight="1">
      <c r="A13" s="63"/>
      <c r="B13" s="121"/>
      <c r="C13" s="122"/>
      <c r="D13" s="123"/>
      <c r="E13" s="121"/>
      <c r="F13" s="63"/>
      <c r="G13" s="121"/>
      <c r="H13" s="122"/>
      <c r="I13" s="126"/>
      <c r="J13" s="125"/>
      <c r="K13" s="63"/>
    </row>
    <row r="14" ht="19.5" customHeight="1">
      <c r="A14" s="63"/>
      <c r="B14" s="121"/>
      <c r="C14" s="122"/>
      <c r="D14" s="123"/>
      <c r="E14" s="121"/>
      <c r="F14" s="63"/>
      <c r="G14" s="121"/>
      <c r="H14" s="122"/>
      <c r="I14" s="126"/>
      <c r="J14" s="125"/>
      <c r="K14" s="63"/>
    </row>
    <row r="15" ht="19.5" customHeight="1">
      <c r="A15" s="63"/>
      <c r="B15" s="121"/>
      <c r="C15" s="122"/>
      <c r="D15" s="123"/>
      <c r="E15" s="121"/>
      <c r="F15" s="63"/>
      <c r="G15" s="121"/>
      <c r="H15" s="122"/>
      <c r="I15" s="126"/>
      <c r="J15" s="125"/>
      <c r="K15" s="63"/>
    </row>
    <row r="16" ht="19.5" customHeight="1">
      <c r="A16" s="63"/>
      <c r="B16" s="121"/>
      <c r="C16" s="122"/>
      <c r="D16" s="123"/>
      <c r="E16" s="121"/>
      <c r="F16" s="63"/>
      <c r="G16" s="121"/>
      <c r="H16" s="122"/>
      <c r="I16" s="124"/>
      <c r="J16" s="121"/>
      <c r="K16" s="63"/>
    </row>
    <row r="17" ht="19.5" customHeight="1">
      <c r="A17" s="63"/>
      <c r="B17" s="121"/>
      <c r="C17" s="122"/>
      <c r="D17" s="123"/>
      <c r="E17" s="125"/>
      <c r="F17" s="63"/>
      <c r="G17" s="125"/>
      <c r="H17" s="127"/>
      <c r="I17" s="126"/>
      <c r="J17" s="125"/>
      <c r="K17" s="63"/>
    </row>
    <row r="18" ht="19.5" customHeight="1">
      <c r="A18" s="63"/>
      <c r="B18" s="121"/>
      <c r="C18" s="122"/>
      <c r="D18" s="123"/>
      <c r="E18" s="125"/>
      <c r="F18" s="63"/>
      <c r="G18" s="125"/>
      <c r="H18" s="127"/>
      <c r="I18" s="126"/>
      <c r="J18" s="125"/>
      <c r="K18" s="63"/>
    </row>
    <row r="19" ht="19.5" customHeight="1">
      <c r="A19" s="63"/>
      <c r="B19" s="125"/>
      <c r="C19" s="122"/>
      <c r="D19" s="123"/>
      <c r="E19" s="125"/>
      <c r="F19" s="63"/>
      <c r="G19" s="125"/>
      <c r="H19" s="127"/>
      <c r="I19" s="126"/>
      <c r="J19" s="125"/>
      <c r="K19" s="63"/>
    </row>
    <row r="20" ht="19.5" customHeight="1">
      <c r="A20" s="63"/>
      <c r="B20" s="125"/>
      <c r="C20" s="122"/>
      <c r="D20" s="123"/>
      <c r="E20" s="125"/>
      <c r="F20" s="63"/>
      <c r="G20" s="125"/>
      <c r="H20" s="127"/>
      <c r="I20" s="126"/>
      <c r="J20" s="125"/>
      <c r="K20" s="63"/>
    </row>
    <row r="21" ht="19.5" customHeight="1">
      <c r="A21" s="63"/>
      <c r="B21" s="125"/>
      <c r="C21" s="122"/>
      <c r="D21" s="128"/>
      <c r="E21" s="125"/>
      <c r="F21" s="63"/>
      <c r="G21" s="125"/>
      <c r="H21" s="127"/>
      <c r="I21" s="126"/>
      <c r="J21" s="125"/>
      <c r="K21" s="63"/>
    </row>
    <row r="22" ht="19.5" customHeight="1">
      <c r="A22" s="63"/>
      <c r="B22" s="125"/>
      <c r="C22" s="122"/>
      <c r="D22" s="128"/>
      <c r="E22" s="125"/>
      <c r="F22" s="63"/>
      <c r="G22" s="125"/>
      <c r="H22" s="127"/>
      <c r="I22" s="126"/>
      <c r="J22" s="125"/>
      <c r="K22" s="63"/>
    </row>
    <row r="23" ht="19.5" customHeight="1">
      <c r="A23" s="63"/>
      <c r="B23" s="125"/>
      <c r="C23" s="122"/>
      <c r="D23" s="128"/>
      <c r="E23" s="125"/>
      <c r="F23" s="63"/>
      <c r="G23" s="125"/>
      <c r="H23" s="127"/>
      <c r="I23" s="126"/>
      <c r="J23" s="125"/>
      <c r="K23" s="63"/>
    </row>
    <row r="24" ht="19.5" customHeight="1">
      <c r="A24" s="63"/>
      <c r="B24" s="125"/>
      <c r="C24" s="122"/>
      <c r="D24" s="128"/>
      <c r="E24" s="125"/>
      <c r="F24" s="63"/>
      <c r="G24" s="125"/>
      <c r="H24" s="127"/>
      <c r="I24" s="126"/>
      <c r="J24" s="125"/>
      <c r="K24" s="63"/>
    </row>
    <row r="25" ht="19.5" customHeight="1">
      <c r="A25" s="63"/>
      <c r="B25" s="125"/>
      <c r="C25" s="122"/>
      <c r="D25" s="128"/>
      <c r="E25" s="125"/>
      <c r="F25" s="63"/>
      <c r="G25" s="125"/>
      <c r="H25" s="127"/>
      <c r="I25" s="126"/>
      <c r="J25" s="125"/>
      <c r="K25" s="63"/>
    </row>
    <row r="26" ht="19.5" customHeight="1">
      <c r="A26" s="63"/>
      <c r="B26" s="125"/>
      <c r="C26" s="122"/>
      <c r="D26" s="128"/>
      <c r="E26" s="125"/>
      <c r="F26" s="63"/>
      <c r="G26" s="125"/>
      <c r="H26" s="127"/>
      <c r="I26" s="126"/>
      <c r="J26" s="125"/>
      <c r="K26" s="63"/>
    </row>
    <row r="27" ht="19.5" customHeight="1">
      <c r="A27" s="63"/>
      <c r="B27" s="125"/>
      <c r="C27" s="122"/>
      <c r="D27" s="128"/>
      <c r="E27" s="125"/>
      <c r="F27" s="63"/>
      <c r="G27" s="125"/>
      <c r="H27" s="127"/>
      <c r="I27" s="126"/>
      <c r="J27" s="125"/>
      <c r="K27" s="63"/>
    </row>
    <row r="28" ht="19.5" customHeight="1">
      <c r="A28" s="63"/>
      <c r="B28" s="125"/>
      <c r="C28" s="122"/>
      <c r="D28" s="128"/>
      <c r="E28" s="125"/>
      <c r="F28" s="63"/>
      <c r="G28" s="125"/>
      <c r="H28" s="127"/>
      <c r="I28" s="126"/>
      <c r="J28" s="125"/>
      <c r="K28" s="63"/>
    </row>
    <row r="29" ht="19.5" customHeight="1">
      <c r="A29" s="63"/>
      <c r="B29" s="125"/>
      <c r="C29" s="122"/>
      <c r="D29" s="128"/>
      <c r="E29" s="125"/>
      <c r="F29" s="63"/>
      <c r="G29" s="125"/>
      <c r="H29" s="127"/>
      <c r="I29" s="126"/>
      <c r="J29" s="125"/>
      <c r="K29" s="63"/>
    </row>
    <row r="30" ht="19.5" customHeight="1">
      <c r="A30" s="63"/>
      <c r="B30" s="125"/>
      <c r="C30" s="122"/>
      <c r="D30" s="128"/>
      <c r="E30" s="125"/>
      <c r="F30" s="63"/>
      <c r="G30" s="125"/>
      <c r="H30" s="127"/>
      <c r="I30" s="126"/>
      <c r="J30" s="125"/>
      <c r="K30" s="63"/>
    </row>
    <row r="31" ht="19.5" customHeight="1">
      <c r="A31" s="63"/>
      <c r="B31" s="125"/>
      <c r="C31" s="122"/>
      <c r="D31" s="128"/>
      <c r="E31" s="125"/>
      <c r="F31" s="63"/>
      <c r="G31" s="125"/>
      <c r="H31" s="127"/>
      <c r="I31" s="126"/>
      <c r="J31" s="125"/>
      <c r="K31" s="63"/>
    </row>
    <row r="32" ht="19.5" customHeight="1">
      <c r="A32" s="63"/>
      <c r="B32" s="125"/>
      <c r="C32" s="122"/>
      <c r="D32" s="128"/>
      <c r="E32" s="125"/>
      <c r="F32" s="63"/>
      <c r="G32" s="125"/>
      <c r="H32" s="127"/>
      <c r="I32" s="126"/>
      <c r="J32" s="125"/>
      <c r="K32" s="63"/>
    </row>
    <row r="33" ht="19.5" customHeight="1">
      <c r="A33" s="63"/>
      <c r="B33" s="129"/>
      <c r="C33" s="130"/>
      <c r="D33" s="131"/>
      <c r="E33" s="129"/>
      <c r="F33" s="63"/>
      <c r="G33" s="129"/>
      <c r="H33" s="132"/>
      <c r="I33" s="133"/>
      <c r="J33" s="129"/>
      <c r="K33" s="63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